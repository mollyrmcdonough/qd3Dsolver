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ly\code\qd3Dsolver\"/>
    </mc:Choice>
  </mc:AlternateContent>
  <xr:revisionPtr revIDLastSave="0" documentId="13_ncr:1_{534B9722-16BB-4366-A193-BCB795C118B1}" xr6:coauthVersionLast="47" xr6:coauthVersionMax="47" xr10:uidLastSave="{00000000-0000-0000-0000-000000000000}"/>
  <bookViews>
    <workbookView xWindow="-28920" yWindow="-120" windowWidth="29040" windowHeight="15720" xr2:uid="{0C50B3D6-1851-4324-B48F-A9217796D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4" i="1" l="1"/>
  <c r="E34" i="1"/>
  <c r="G33" i="1"/>
  <c r="G32" i="1"/>
  <c r="G31" i="1"/>
  <c r="F33" i="1"/>
  <c r="F32" i="1"/>
  <c r="F31" i="1"/>
  <c r="E33" i="1"/>
  <c r="E32" i="1"/>
  <c r="E31" i="1"/>
  <c r="D33" i="1"/>
  <c r="D32" i="1"/>
  <c r="D31" i="1"/>
</calcChain>
</file>

<file path=xl/sharedStrings.xml><?xml version="1.0" encoding="utf-8"?>
<sst xmlns="http://schemas.openxmlformats.org/spreadsheetml/2006/main" count="100" uniqueCount="69">
  <si>
    <t>Parameter</t>
  </si>
  <si>
    <t>Unit</t>
  </si>
  <si>
    <t>Parameter Description</t>
  </si>
  <si>
    <t>GaAs</t>
  </si>
  <si>
    <t>a_lc</t>
  </si>
  <si>
    <t>Angstrom</t>
  </si>
  <si>
    <t>eV</t>
  </si>
  <si>
    <t>Bandgap at the gamma point at 0K</t>
  </si>
  <si>
    <t>E_g (Г) at 0K</t>
  </si>
  <si>
    <t>meV/K</t>
  </si>
  <si>
    <t>5.65325+3.88E-5(T-300)</t>
  </si>
  <si>
    <t>c_44</t>
  </si>
  <si>
    <t>GPa</t>
  </si>
  <si>
    <t>c_12</t>
  </si>
  <si>
    <t>c_11</t>
  </si>
  <si>
    <t>d</t>
  </si>
  <si>
    <t>b</t>
  </si>
  <si>
    <t>a_v</t>
  </si>
  <si>
    <t>a_c</t>
  </si>
  <si>
    <t>VBO</t>
  </si>
  <si>
    <t>F</t>
  </si>
  <si>
    <t>E_P</t>
  </si>
  <si>
    <t>m*_so</t>
  </si>
  <si>
    <t>m*_t (X)</t>
  </si>
  <si>
    <t>γ_3</t>
  </si>
  <si>
    <t>γ_2</t>
  </si>
  <si>
    <t>γ_1</t>
  </si>
  <si>
    <t>β (Г)</t>
  </si>
  <si>
    <t>α (Г)</t>
  </si>
  <si>
    <t>K</t>
  </si>
  <si>
    <t>E_g (X) at 0K</t>
  </si>
  <si>
    <t>α (X)</t>
  </si>
  <si>
    <t>β (X)</t>
  </si>
  <si>
    <t>E_g (L)</t>
  </si>
  <si>
    <t>α (L)</t>
  </si>
  <si>
    <t>β (L)</t>
  </si>
  <si>
    <t>Δ_so</t>
  </si>
  <si>
    <t>m*_e (Г)</t>
  </si>
  <si>
    <t>m*_l (L)</t>
  </si>
  <si>
    <t>m*_t (L)</t>
  </si>
  <si>
    <t>m*_DOS (L)</t>
  </si>
  <si>
    <t>m*_l (X)</t>
  </si>
  <si>
    <t>m*_DOS (X)</t>
  </si>
  <si>
    <t>Lattice constant</t>
  </si>
  <si>
    <t>Kane parameter</t>
  </si>
  <si>
    <t>matrix element is one of the band parameters</t>
  </si>
  <si>
    <t>Luttinger parameter</t>
  </si>
  <si>
    <t>spin-orbit splitting</t>
  </si>
  <si>
    <t>Varshni parameter at gamma point</t>
  </si>
  <si>
    <t>Varshni parameter at L point</t>
  </si>
  <si>
    <t>Varshni parameter at X point</t>
  </si>
  <si>
    <t>Bandgap at the L point at 0K</t>
  </si>
  <si>
    <t>Bandgap at the X point at 0K</t>
  </si>
  <si>
    <t>Effective mass of electron at gamma point</t>
  </si>
  <si>
    <t>empirical deformation potential constant</t>
  </si>
  <si>
    <t>single deformation potential</t>
  </si>
  <si>
    <t>additional potentials for shear deformations</t>
  </si>
  <si>
    <t>InAs</t>
  </si>
  <si>
    <t>6.0583+2.74E-5(T-300)</t>
  </si>
  <si>
    <t>GaSb</t>
  </si>
  <si>
    <t>6.0959+4.72E-5(T-300)</t>
  </si>
  <si>
    <t>-</t>
  </si>
  <si>
    <t>InSb</t>
  </si>
  <si>
    <t>6.4794+3.48E-5(T-300)</t>
  </si>
  <si>
    <t>e_14</t>
  </si>
  <si>
    <t>C/m^2</t>
  </si>
  <si>
    <t>Piezoelectric constant</t>
  </si>
  <si>
    <r>
      <rPr>
        <sz val="11"/>
        <color theme="1"/>
        <rFont val="Aptos Narrow"/>
        <family val="2"/>
      </rPr>
      <t>ε</t>
    </r>
    <r>
      <rPr>
        <sz val="9.9"/>
        <color theme="1"/>
        <rFont val="Aptos Narrow"/>
        <family val="2"/>
      </rPr>
      <t>_r</t>
    </r>
  </si>
  <si>
    <t>Static dielectric constant at 300K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</si>
</sst>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9.9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8B80-D0AE-4A1D-99BA-1EF85CFB56A9}">
  <dimension ref="A1:G35"/>
  <sheetViews>
    <sheetView tabSelected="1" zoomScale="90" zoomScaleNormal="90" workbookViewId="0">
      <selection activeCell="D36" sqref="D36"/>
    </sheetView>
  </sheetViews>
  <sheetFormatPr defaultRowHeight="15" customHeight="1" x14ac:dyDescent="0.25"/>
  <cols>
    <col min="1" max="1" width="14.5703125" style="1" customWidth="1"/>
    <col min="2" max="2" width="9.140625" style="1"/>
    <col min="3" max="3" width="39.5703125" style="1" customWidth="1"/>
    <col min="4" max="4" width="23.42578125" style="1" customWidth="1"/>
    <col min="5" max="5" width="26.5703125" style="1" customWidth="1"/>
    <col min="6" max="6" width="31.28515625" style="1" customWidth="1"/>
    <col min="7" max="7" width="26.7109375" style="1" customWidth="1"/>
    <col min="8" max="16384" width="9.140625" style="1"/>
  </cols>
  <sheetData>
    <row r="1" spans="1: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59</v>
      </c>
      <c r="G1" s="1" t="s">
        <v>62</v>
      </c>
    </row>
    <row r="2" spans="1:7" ht="15" customHeight="1" x14ac:dyDescent="0.25">
      <c r="A2" s="1" t="s">
        <v>4</v>
      </c>
      <c r="B2" s="1" t="s">
        <v>5</v>
      </c>
      <c r="C2" s="1" t="s">
        <v>43</v>
      </c>
      <c r="D2" s="1" t="s">
        <v>10</v>
      </c>
      <c r="E2" s="1" t="s">
        <v>58</v>
      </c>
      <c r="F2" s="1" t="s">
        <v>60</v>
      </c>
      <c r="G2" s="1" t="s">
        <v>63</v>
      </c>
    </row>
    <row r="3" spans="1:7" ht="15" customHeight="1" x14ac:dyDescent="0.25">
      <c r="A3" s="1" t="s">
        <v>8</v>
      </c>
      <c r="B3" s="1" t="s">
        <v>6</v>
      </c>
      <c r="C3" s="1" t="s">
        <v>7</v>
      </c>
      <c r="D3" s="1">
        <v>1.5189999999999999</v>
      </c>
      <c r="E3" s="1">
        <v>0.41699999999999998</v>
      </c>
      <c r="F3" s="1">
        <v>0.81200000000000006</v>
      </c>
      <c r="G3" s="1">
        <v>0.23499999999999999</v>
      </c>
    </row>
    <row r="4" spans="1:7" ht="15" customHeight="1" x14ac:dyDescent="0.25">
      <c r="A4" s="2" t="s">
        <v>28</v>
      </c>
      <c r="B4" s="1" t="s">
        <v>9</v>
      </c>
      <c r="C4" s="1" t="s">
        <v>48</v>
      </c>
      <c r="D4" s="1">
        <v>0.54049999999999998</v>
      </c>
      <c r="E4" s="1">
        <v>0.27600000000000002</v>
      </c>
      <c r="F4" s="1">
        <v>0.41699999999999998</v>
      </c>
      <c r="G4" s="1">
        <v>0.32</v>
      </c>
    </row>
    <row r="5" spans="1:7" ht="15" customHeight="1" x14ac:dyDescent="0.25">
      <c r="A5" s="5" t="s">
        <v>27</v>
      </c>
      <c r="B5" s="1" t="s">
        <v>29</v>
      </c>
      <c r="C5" s="1" t="s">
        <v>48</v>
      </c>
      <c r="D5" s="1">
        <v>204</v>
      </c>
      <c r="E5" s="1">
        <v>93</v>
      </c>
      <c r="F5" s="1">
        <v>140</v>
      </c>
      <c r="G5" s="1">
        <v>170</v>
      </c>
    </row>
    <row r="6" spans="1:7" ht="15" customHeight="1" x14ac:dyDescent="0.25">
      <c r="A6" s="1" t="s">
        <v>30</v>
      </c>
      <c r="B6" s="1" t="s">
        <v>6</v>
      </c>
      <c r="C6" s="1" t="s">
        <v>52</v>
      </c>
      <c r="D6" s="1">
        <v>1.9810000000000001</v>
      </c>
      <c r="E6" s="1">
        <v>1.4330000000000001</v>
      </c>
      <c r="F6" s="1">
        <v>1.141</v>
      </c>
      <c r="G6" s="1">
        <v>0.63</v>
      </c>
    </row>
    <row r="7" spans="1:7" ht="15" customHeight="1" x14ac:dyDescent="0.25">
      <c r="A7" s="2" t="s">
        <v>31</v>
      </c>
      <c r="B7" s="1" t="s">
        <v>9</v>
      </c>
      <c r="C7" s="1" t="s">
        <v>50</v>
      </c>
      <c r="D7" s="3">
        <v>0.46</v>
      </c>
      <c r="E7" s="1">
        <v>0.27600000000000002</v>
      </c>
      <c r="F7" s="1">
        <v>0.47499999999999998</v>
      </c>
      <c r="G7" s="1" t="s">
        <v>61</v>
      </c>
    </row>
    <row r="8" spans="1:7" ht="15" customHeight="1" x14ac:dyDescent="0.25">
      <c r="A8" s="5" t="s">
        <v>32</v>
      </c>
      <c r="B8" s="1" t="s">
        <v>29</v>
      </c>
      <c r="C8" s="1" t="s">
        <v>50</v>
      </c>
      <c r="D8" s="1">
        <v>204</v>
      </c>
      <c r="E8" s="1">
        <v>93</v>
      </c>
      <c r="F8" s="1">
        <v>94</v>
      </c>
      <c r="G8" s="1" t="s">
        <v>61</v>
      </c>
    </row>
    <row r="9" spans="1:7" ht="15" customHeight="1" x14ac:dyDescent="0.25">
      <c r="A9" s="1" t="s">
        <v>33</v>
      </c>
      <c r="B9" s="1" t="s">
        <v>6</v>
      </c>
      <c r="C9" s="1" t="s">
        <v>51</v>
      </c>
      <c r="D9" s="1">
        <v>1.8149999999999999</v>
      </c>
      <c r="E9" s="1">
        <v>1.133</v>
      </c>
      <c r="F9" s="1">
        <v>0.875</v>
      </c>
      <c r="G9" s="1">
        <v>0.93</v>
      </c>
    </row>
    <row r="10" spans="1:7" ht="15" customHeight="1" x14ac:dyDescent="0.25">
      <c r="A10" s="2" t="s">
        <v>34</v>
      </c>
      <c r="B10" s="1" t="s">
        <v>9</v>
      </c>
      <c r="C10" s="1" t="s">
        <v>49</v>
      </c>
      <c r="D10" s="1">
        <v>0.60499999999999998</v>
      </c>
      <c r="E10" s="1">
        <v>0.27600000000000002</v>
      </c>
      <c r="F10" s="1">
        <v>0.59699999999999998</v>
      </c>
      <c r="G10" s="1" t="s">
        <v>61</v>
      </c>
    </row>
    <row r="11" spans="1:7" ht="15" customHeight="1" x14ac:dyDescent="0.25">
      <c r="A11" s="5" t="s">
        <v>35</v>
      </c>
      <c r="B11" s="1" t="s">
        <v>29</v>
      </c>
      <c r="C11" s="1" t="s">
        <v>49</v>
      </c>
      <c r="D11" s="1">
        <v>204</v>
      </c>
      <c r="E11" s="1">
        <v>93</v>
      </c>
      <c r="F11" s="1">
        <v>140</v>
      </c>
      <c r="G11" s="1" t="s">
        <v>61</v>
      </c>
    </row>
    <row r="12" spans="1:7" ht="15" customHeight="1" x14ac:dyDescent="0.25">
      <c r="A12" s="5" t="s">
        <v>36</v>
      </c>
      <c r="B12" s="1" t="s">
        <v>6</v>
      </c>
      <c r="C12" s="1" t="s">
        <v>47</v>
      </c>
      <c r="D12" s="1">
        <v>0.34100000000000003</v>
      </c>
      <c r="E12" s="1">
        <v>0.39</v>
      </c>
      <c r="F12" s="1">
        <v>0.76</v>
      </c>
      <c r="G12" s="1">
        <v>0.81</v>
      </c>
    </row>
    <row r="13" spans="1:7" ht="15" customHeight="1" x14ac:dyDescent="0.25">
      <c r="A13" s="1" t="s">
        <v>37</v>
      </c>
      <c r="C13" s="1" t="s">
        <v>53</v>
      </c>
      <c r="D13" s="1">
        <v>6.7000000000000004E-2</v>
      </c>
      <c r="E13" s="1">
        <v>2.5999999999999999E-2</v>
      </c>
      <c r="F13" s="1">
        <v>3.9E-2</v>
      </c>
      <c r="G13" s="1">
        <v>1.35E-2</v>
      </c>
    </row>
    <row r="14" spans="1:7" ht="15" customHeight="1" x14ac:dyDescent="0.25">
      <c r="A14" s="1" t="s">
        <v>38</v>
      </c>
      <c r="D14" s="1">
        <v>1.9</v>
      </c>
      <c r="E14" s="1">
        <v>0.64</v>
      </c>
      <c r="F14" s="1">
        <v>1.3</v>
      </c>
      <c r="G14" s="1" t="s">
        <v>61</v>
      </c>
    </row>
    <row r="15" spans="1:7" ht="15" customHeight="1" x14ac:dyDescent="0.25">
      <c r="A15" s="1" t="s">
        <v>39</v>
      </c>
      <c r="D15" s="1">
        <v>7.5399999999999995E-2</v>
      </c>
      <c r="E15" s="1">
        <v>0.05</v>
      </c>
      <c r="F15" s="4">
        <v>0.1</v>
      </c>
      <c r="G15" s="1" t="s">
        <v>61</v>
      </c>
    </row>
    <row r="16" spans="1:7" ht="15" customHeight="1" x14ac:dyDescent="0.25">
      <c r="A16" s="1" t="s">
        <v>40</v>
      </c>
      <c r="D16" s="1">
        <v>0.56000000000000005</v>
      </c>
      <c r="E16" s="1">
        <v>0.28999999999999998</v>
      </c>
      <c r="F16" s="1" t="s">
        <v>61</v>
      </c>
      <c r="G16" s="1">
        <v>0.25</v>
      </c>
    </row>
    <row r="17" spans="1:7" ht="15" customHeight="1" x14ac:dyDescent="0.25">
      <c r="A17" s="1" t="s">
        <v>41</v>
      </c>
      <c r="D17" s="1">
        <v>1.3</v>
      </c>
      <c r="E17" s="1">
        <v>1.1299999999999999</v>
      </c>
      <c r="F17" s="1">
        <v>1.51</v>
      </c>
      <c r="G17" s="1" t="s">
        <v>61</v>
      </c>
    </row>
    <row r="18" spans="1:7" ht="15" customHeight="1" x14ac:dyDescent="0.25">
      <c r="A18" s="1" t="s">
        <v>23</v>
      </c>
      <c r="D18" s="1">
        <v>0.23</v>
      </c>
      <c r="E18" s="1">
        <v>0.16</v>
      </c>
      <c r="F18" s="1">
        <v>0.22</v>
      </c>
      <c r="G18" s="1" t="s">
        <v>61</v>
      </c>
    </row>
    <row r="19" spans="1:7" ht="15" customHeight="1" x14ac:dyDescent="0.25">
      <c r="A19" s="1" t="s">
        <v>42</v>
      </c>
      <c r="D19" s="1">
        <v>0.85</v>
      </c>
      <c r="E19" s="1">
        <v>0.64</v>
      </c>
      <c r="F19" s="1" t="s">
        <v>61</v>
      </c>
      <c r="G19" s="1" t="s">
        <v>61</v>
      </c>
    </row>
    <row r="20" spans="1:7" ht="15" customHeight="1" x14ac:dyDescent="0.25">
      <c r="A20" s="1" t="s">
        <v>26</v>
      </c>
      <c r="C20" s="1" t="s">
        <v>46</v>
      </c>
      <c r="D20" s="1">
        <v>6.98</v>
      </c>
      <c r="E20" s="6">
        <v>20</v>
      </c>
      <c r="F20" s="1">
        <v>13.4</v>
      </c>
      <c r="G20" s="1">
        <v>34.799999999999997</v>
      </c>
    </row>
    <row r="21" spans="1:7" ht="15" customHeight="1" x14ac:dyDescent="0.25">
      <c r="A21" s="1" t="s">
        <v>25</v>
      </c>
      <c r="C21" s="1" t="s">
        <v>46</v>
      </c>
      <c r="D21" s="1">
        <v>2.06</v>
      </c>
      <c r="E21" s="1">
        <v>8.5</v>
      </c>
      <c r="F21" s="1">
        <v>4.7</v>
      </c>
      <c r="G21" s="1">
        <v>15.5</v>
      </c>
    </row>
    <row r="22" spans="1:7" ht="15" customHeight="1" x14ac:dyDescent="0.25">
      <c r="A22" s="5" t="s">
        <v>24</v>
      </c>
      <c r="C22" s="1" t="s">
        <v>46</v>
      </c>
      <c r="D22" s="1">
        <v>2.93</v>
      </c>
      <c r="E22" s="1">
        <v>9.1999999999999993</v>
      </c>
      <c r="F22" s="6">
        <v>6</v>
      </c>
      <c r="G22" s="1">
        <v>16.5</v>
      </c>
    </row>
    <row r="23" spans="1:7" ht="15" customHeight="1" x14ac:dyDescent="0.25">
      <c r="A23" s="1" t="s">
        <v>22</v>
      </c>
      <c r="D23" s="1">
        <v>0.17199999999999999</v>
      </c>
      <c r="E23" s="1">
        <v>0.14000000000000001</v>
      </c>
      <c r="F23" s="1">
        <v>0.12</v>
      </c>
      <c r="G23" s="1">
        <v>0.11</v>
      </c>
    </row>
    <row r="24" spans="1:7" ht="15" customHeight="1" x14ac:dyDescent="0.25">
      <c r="A24" s="1" t="s">
        <v>21</v>
      </c>
      <c r="B24" s="1" t="s">
        <v>6</v>
      </c>
      <c r="C24" s="1" t="s">
        <v>45</v>
      </c>
      <c r="D24" s="1">
        <v>28.8</v>
      </c>
      <c r="E24" s="1">
        <v>21.5</v>
      </c>
      <c r="F24" s="6">
        <v>27</v>
      </c>
      <c r="G24" s="1">
        <v>23.3</v>
      </c>
    </row>
    <row r="25" spans="1:7" ht="15" customHeight="1" x14ac:dyDescent="0.25">
      <c r="A25" s="1" t="s">
        <v>20</v>
      </c>
      <c r="C25" s="1" t="s">
        <v>44</v>
      </c>
      <c r="D25" s="1">
        <v>-1.94</v>
      </c>
      <c r="E25" s="4">
        <v>-2.9</v>
      </c>
      <c r="F25" s="1">
        <v>-1.63</v>
      </c>
      <c r="G25" s="1">
        <v>-0.23</v>
      </c>
    </row>
    <row r="26" spans="1:7" ht="15" customHeight="1" x14ac:dyDescent="0.25">
      <c r="A26" s="1" t="s">
        <v>19</v>
      </c>
      <c r="B26" s="1" t="s">
        <v>6</v>
      </c>
      <c r="D26" s="4">
        <v>-0.8</v>
      </c>
      <c r="E26" s="1">
        <v>-0.59</v>
      </c>
      <c r="F26" s="1">
        <v>-0.03</v>
      </c>
      <c r="G26" s="1">
        <v>0</v>
      </c>
    </row>
    <row r="27" spans="1:7" ht="15" customHeight="1" x14ac:dyDescent="0.25">
      <c r="A27" s="1" t="s">
        <v>18</v>
      </c>
      <c r="B27" s="1" t="s">
        <v>6</v>
      </c>
      <c r="C27" s="1" t="s">
        <v>54</v>
      </c>
      <c r="D27" s="1">
        <v>-7.17</v>
      </c>
      <c r="E27" s="1">
        <v>-5.08</v>
      </c>
      <c r="F27" s="1">
        <v>-7.5</v>
      </c>
      <c r="G27" s="1">
        <v>-6.94</v>
      </c>
    </row>
    <row r="28" spans="1:7" ht="15" customHeight="1" x14ac:dyDescent="0.25">
      <c r="A28" s="1" t="s">
        <v>17</v>
      </c>
      <c r="B28" s="1" t="s">
        <v>6</v>
      </c>
      <c r="C28" s="1" t="s">
        <v>55</v>
      </c>
      <c r="D28" s="1">
        <v>-1.1599999999999999</v>
      </c>
      <c r="E28" s="4">
        <v>-1</v>
      </c>
      <c r="F28" s="1">
        <v>-0.8</v>
      </c>
      <c r="G28" s="1">
        <v>-0.36</v>
      </c>
    </row>
    <row r="29" spans="1:7" ht="15" customHeight="1" x14ac:dyDescent="0.25">
      <c r="A29" s="1" t="s">
        <v>16</v>
      </c>
      <c r="B29" s="1" t="s">
        <v>6</v>
      </c>
      <c r="C29" s="1" t="s">
        <v>56</v>
      </c>
      <c r="D29" s="1">
        <v>-2</v>
      </c>
      <c r="E29" s="1">
        <v>-1.8</v>
      </c>
      <c r="F29" s="6">
        <v>-2</v>
      </c>
      <c r="G29" s="1">
        <v>-2</v>
      </c>
    </row>
    <row r="30" spans="1:7" ht="15" customHeight="1" x14ac:dyDescent="0.25">
      <c r="A30" s="1" t="s">
        <v>15</v>
      </c>
      <c r="B30" s="1" t="s">
        <v>6</v>
      </c>
      <c r="C30" s="1" t="s">
        <v>56</v>
      </c>
      <c r="D30" s="1">
        <v>-4.8</v>
      </c>
      <c r="E30" s="1">
        <v>-3.6</v>
      </c>
      <c r="F30" s="1">
        <v>-4.7</v>
      </c>
      <c r="G30" s="1">
        <v>-4.7</v>
      </c>
    </row>
    <row r="31" spans="1:7" ht="15" customHeight="1" x14ac:dyDescent="0.25">
      <c r="A31" s="1" t="s">
        <v>14</v>
      </c>
      <c r="B31" s="1" t="s">
        <v>12</v>
      </c>
      <c r="D31" s="1">
        <f>1221/10</f>
        <v>122.1</v>
      </c>
      <c r="E31" s="1">
        <f>832.9/10</f>
        <v>83.289999999999992</v>
      </c>
      <c r="F31" s="1">
        <f>884.2/10</f>
        <v>88.42</v>
      </c>
      <c r="G31" s="1">
        <f>684.7/10</f>
        <v>68.47</v>
      </c>
    </row>
    <row r="32" spans="1:7" ht="15" customHeight="1" x14ac:dyDescent="0.25">
      <c r="A32" s="1" t="s">
        <v>13</v>
      </c>
      <c r="B32" s="1" t="s">
        <v>12</v>
      </c>
      <c r="D32" s="1">
        <f>566/10</f>
        <v>56.6</v>
      </c>
      <c r="E32" s="1">
        <f>452.6/10</f>
        <v>45.260000000000005</v>
      </c>
      <c r="F32" s="1">
        <f>402.6/10</f>
        <v>40.260000000000005</v>
      </c>
      <c r="G32" s="1">
        <f>373.5/10</f>
        <v>37.35</v>
      </c>
    </row>
    <row r="33" spans="1:7" ht="15" customHeight="1" x14ac:dyDescent="0.25">
      <c r="A33" s="1" t="s">
        <v>11</v>
      </c>
      <c r="B33" s="1" t="s">
        <v>12</v>
      </c>
      <c r="D33" s="1">
        <f>600/10</f>
        <v>60</v>
      </c>
      <c r="E33" s="1">
        <f>395.9/10</f>
        <v>39.589999999999996</v>
      </c>
      <c r="F33" s="1">
        <f>432.2/10</f>
        <v>43.22</v>
      </c>
      <c r="G33" s="1">
        <f>311.1/10</f>
        <v>31.110000000000003</v>
      </c>
    </row>
    <row r="34" spans="1:7" ht="15" customHeight="1" x14ac:dyDescent="0.25">
      <c r="A34" s="1" t="s">
        <v>64</v>
      </c>
      <c r="B34" s="1" t="s">
        <v>65</v>
      </c>
      <c r="C34" s="1" t="s">
        <v>66</v>
      </c>
      <c r="D34" s="1">
        <v>-0.16</v>
      </c>
      <c r="E34" s="1">
        <f>-0.045</f>
        <v>-4.4999999999999998E-2</v>
      </c>
      <c r="F34" s="1">
        <v>-0.13</v>
      </c>
      <c r="G34" s="1">
        <f>-0.07</f>
        <v>-7.0000000000000007E-2</v>
      </c>
    </row>
    <row r="35" spans="1:7" ht="15" customHeight="1" x14ac:dyDescent="0.25">
      <c r="A35" s="5" t="s">
        <v>67</v>
      </c>
      <c r="C35" s="1" t="s">
        <v>68</v>
      </c>
      <c r="D35" s="1">
        <v>12.9</v>
      </c>
      <c r="E35" s="1">
        <v>15.15</v>
      </c>
      <c r="F35" s="1">
        <v>15.7</v>
      </c>
      <c r="G35" s="1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McDonough</dc:creator>
  <cp:lastModifiedBy>Molly McDonough</cp:lastModifiedBy>
  <dcterms:created xsi:type="dcterms:W3CDTF">2026-07-29T21:08:12Z</dcterms:created>
  <dcterms:modified xsi:type="dcterms:W3CDTF">2026-08-03T13:36:39Z</dcterms:modified>
</cp:coreProperties>
</file>